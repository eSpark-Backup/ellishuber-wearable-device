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EllisHuber-Wearable-device\Design FIles\Ellis Huber Wearable device_IMU\BOM\"/>
    </mc:Choice>
  </mc:AlternateContent>
  <xr:revisionPtr revIDLastSave="0" documentId="13_ncr:1_{F4C8A2E2-0B00-4AED-B7D5-FDE58B59E35A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<sst xmlns="http://schemas.openxmlformats.org/spreadsheetml/2006/main" count="99" uniqueCount="77">
  <si>
    <t>#</t>
  </si>
  <si>
    <t>Item Type</t>
  </si>
  <si>
    <t>Capacitor</t>
  </si>
  <si>
    <t>FFC / FPC</t>
  </si>
  <si>
    <t>Mosfet</t>
  </si>
  <si>
    <t>Resistor</t>
  </si>
  <si>
    <t>Resistors</t>
  </si>
  <si>
    <t>IC</t>
  </si>
  <si>
    <t>Designator</t>
  </si>
  <si>
    <t>C1, C2, C5</t>
  </si>
  <si>
    <t>C3, C4</t>
  </si>
  <si>
    <t>CR1, CR2</t>
  </si>
  <si>
    <t>D2</t>
  </si>
  <si>
    <t>J1</t>
  </si>
  <si>
    <t>J2</t>
  </si>
  <si>
    <t>Q1</t>
  </si>
  <si>
    <t>R1, R2</t>
  </si>
  <si>
    <t>R3, R4, R11</t>
  </si>
  <si>
    <t>R5, R6, R8, R12</t>
  </si>
  <si>
    <t>R7, R9, R13</t>
  </si>
  <si>
    <t>R10</t>
  </si>
  <si>
    <t>U1</t>
  </si>
  <si>
    <t>Description</t>
  </si>
  <si>
    <t>CAP CER 0.1UF 50V X5R 0402</t>
  </si>
  <si>
    <t>CAP CER 100PF 50V C0G/NPO 0402</t>
  </si>
  <si>
    <t>Single-line low capacitance and low leakage current ESD protection</t>
  </si>
  <si>
    <t>40V 500mV@2A 2A SMA(DO-214AC) Schottky Barrier Diodes (SBD) ROHS</t>
  </si>
  <si>
    <t>CONN FFC FPC 10POS 0.5MM R/A</t>
  </si>
  <si>
    <t>30V 5.8A 32mΩ@10V,5.8A 1.4W 1.4V@250uA N Channel SOT-23 MOSFETs ROHS</t>
  </si>
  <si>
    <t>RES 10K OHM 1% 1/16W 0402</t>
  </si>
  <si>
    <t>RES 0 OHM JUMPER 1/16W 0402</t>
  </si>
  <si>
    <t>RES 200 OHM 1% 1/16W 0402</t>
  </si>
  <si>
    <t>RES 100 OHM 1% 1/16W 0402</t>
  </si>
  <si>
    <t>RES 100K OHM 1% 1/16W 0402</t>
  </si>
  <si>
    <t>INEMO 3D ACCELEROMETER AND 3D GY</t>
  </si>
  <si>
    <t>Footprint</t>
  </si>
  <si>
    <t>Cap-0402</t>
  </si>
  <si>
    <t>CR_L5-1BM2_STM</t>
  </si>
  <si>
    <t>SMA</t>
  </si>
  <si>
    <t>sot-23</t>
  </si>
  <si>
    <t>Res-0402</t>
  </si>
  <si>
    <t>14-LGA (2.5x3)</t>
  </si>
  <si>
    <t>Manufacturer Part Number</t>
  </si>
  <si>
    <t>C1005X5R1H104K050BB</t>
  </si>
  <si>
    <t>CC0402JRNPO9BN101</t>
  </si>
  <si>
    <t>SS24A</t>
  </si>
  <si>
    <t>503480-1000</t>
  </si>
  <si>
    <t>AO3400A</t>
  </si>
  <si>
    <t>RC0402FR-0710KL</t>
  </si>
  <si>
    <t>RC0402FR-070RL</t>
  </si>
  <si>
    <t>RC0402FR-07200RL</t>
  </si>
  <si>
    <t>RC0402FR-07100RL</t>
  </si>
  <si>
    <t>RC0402FR-07100KL</t>
  </si>
  <si>
    <t>LSM6DSV16XTR</t>
  </si>
  <si>
    <t>Manufacturer</t>
  </si>
  <si>
    <t>TDK</t>
  </si>
  <si>
    <t>Yageo</t>
  </si>
  <si>
    <t>Guangdong Hottech</t>
  </si>
  <si>
    <t>Molex</t>
  </si>
  <si>
    <t>BORN</t>
  </si>
  <si>
    <t>STMicroelectronics</t>
  </si>
  <si>
    <t>Comment</t>
  </si>
  <si>
    <t>0.1uF</t>
  </si>
  <si>
    <t>100pF</t>
  </si>
  <si>
    <t>ESDALCL5-1BM2</t>
  </si>
  <si>
    <t>VL91022-160-320H</t>
  </si>
  <si>
    <t>10K</t>
  </si>
  <si>
    <t>0R</t>
  </si>
  <si>
    <t>200R</t>
  </si>
  <si>
    <t>100R</t>
  </si>
  <si>
    <t>100K</t>
  </si>
  <si>
    <t>Quantity</t>
  </si>
  <si>
    <t>#Column Name Error:' Remarks</t>
  </si>
  <si>
    <t>Diode</t>
  </si>
  <si>
    <t>AC Motor Vibration, LRA (Haptic) 1.5VAC</t>
  </si>
  <si>
    <t>Motor</t>
  </si>
  <si>
    <t>Vybronics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</si>
</sst>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topLeftCell="A4" zoomScale="70" zoomScaleNormal="70" workbookViewId="0">
      <selection activeCell="H8" sqref="H8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8</v>
      </c>
      <c r="E2" s="6" t="s">
        <v>22</v>
      </c>
      <c r="F2" s="5" t="s">
        <v>35</v>
      </c>
      <c r="G2" s="6" t="s">
        <v>42</v>
      </c>
      <c r="H2" s="5" t="s">
        <v>54</v>
      </c>
      <c r="I2" s="6" t="s">
        <v>61</v>
      </c>
      <c r="J2" s="5" t="s">
        <v>71</v>
      </c>
      <c r="K2" s="5" t="s">
        <v>72</v>
      </c>
    </row>
    <row r="3" spans="1:11" ht="15" thickBot="1" x14ac:dyDescent="0.35">
      <c r="A3" s="1"/>
      <c r="B3" s="11">
        <f>ROW(B3) - ROW($B$2)</f>
        <v>1</v>
      </c>
      <c r="C3" s="12" t="s">
        <v>2</v>
      </c>
      <c r="D3" s="7" t="s">
        <v>9</v>
      </c>
      <c r="E3" s="8" t="s">
        <v>23</v>
      </c>
      <c r="F3" s="7" t="s">
        <v>36</v>
      </c>
      <c r="G3" s="8" t="s">
        <v>43</v>
      </c>
      <c r="H3" s="7" t="s">
        <v>55</v>
      </c>
      <c r="I3" s="8" t="s">
        <v>62</v>
      </c>
      <c r="J3" s="7">
        <v>3</v>
      </c>
      <c r="K3" s="7"/>
    </row>
    <row r="4" spans="1:11" ht="15" thickBot="1" x14ac:dyDescent="0.35">
      <c r="A4" s="1"/>
      <c r="B4" s="11">
        <f t="shared" ref="B4:B14" si="0">ROW(B4) - ROW($B$2)</f>
        <v>2</v>
      </c>
      <c r="C4" s="13" t="s">
        <v>2</v>
      </c>
      <c r="D4" s="9" t="s">
        <v>10</v>
      </c>
      <c r="E4" s="10" t="s">
        <v>24</v>
      </c>
      <c r="F4" s="9" t="s">
        <v>36</v>
      </c>
      <c r="G4" s="10" t="s">
        <v>44</v>
      </c>
      <c r="H4" s="9" t="s">
        <v>56</v>
      </c>
      <c r="I4" s="10" t="s">
        <v>63</v>
      </c>
      <c r="J4" s="9">
        <v>2</v>
      </c>
      <c r="K4" s="9"/>
    </row>
    <row r="5" spans="1:11" ht="24.6" thickBot="1" x14ac:dyDescent="0.35">
      <c r="A5" s="1"/>
      <c r="B5" s="11">
        <f>ROW(B5) - ROW($B$2)</f>
        <v>3</v>
      </c>
      <c r="C5" s="12" t="s">
        <v>73</v>
      </c>
      <c r="D5" s="7" t="s">
        <v>11</v>
      </c>
      <c r="E5" s="8" t="s">
        <v>25</v>
      </c>
      <c r="F5" s="7" t="s">
        <v>37</v>
      </c>
      <c r="G5" s="8" t="s">
        <v>64</v>
      </c>
      <c r="H5" s="7" t="s">
        <v>60</v>
      </c>
      <c r="I5" s="8" t="s">
        <v>64</v>
      </c>
      <c r="J5" s="7">
        <v>2</v>
      </c>
      <c r="K5" s="7"/>
    </row>
    <row r="6" spans="1:11" ht="24.6" thickBot="1" x14ac:dyDescent="0.35">
      <c r="A6" s="1"/>
      <c r="B6" s="11">
        <f t="shared" si="0"/>
        <v>4</v>
      </c>
      <c r="C6" s="13" t="s">
        <v>73</v>
      </c>
      <c r="D6" s="9" t="s">
        <v>12</v>
      </c>
      <c r="E6" s="10" t="s">
        <v>26</v>
      </c>
      <c r="F6" s="9" t="s">
        <v>38</v>
      </c>
      <c r="G6" s="10" t="s">
        <v>45</v>
      </c>
      <c r="H6" s="9" t="s">
        <v>57</v>
      </c>
      <c r="I6" s="10" t="s">
        <v>45</v>
      </c>
      <c r="J6" s="9">
        <v>1</v>
      </c>
      <c r="K6" s="9"/>
    </row>
    <row r="7" spans="1:11" ht="15" thickBot="1" x14ac:dyDescent="0.35">
      <c r="A7" s="1"/>
      <c r="B7" s="11">
        <f>ROW(B7) - ROW($B$2)</f>
        <v>5</v>
      </c>
      <c r="C7" s="12" t="s">
        <v>3</v>
      </c>
      <c r="D7" s="7" t="s">
        <v>13</v>
      </c>
      <c r="E7" s="8" t="s">
        <v>27</v>
      </c>
      <c r="F7" s="7">
        <v>5034801000</v>
      </c>
      <c r="G7" s="8" t="s">
        <v>46</v>
      </c>
      <c r="H7" s="7" t="s">
        <v>58</v>
      </c>
      <c r="I7" s="8" t="s">
        <v>46</v>
      </c>
      <c r="J7" s="7">
        <v>1</v>
      </c>
      <c r="K7" s="7"/>
    </row>
    <row r="8" spans="1:11" ht="15" thickBot="1" x14ac:dyDescent="0.35">
      <c r="A8" s="1"/>
      <c r="B8" s="11">
        <f t="shared" si="0"/>
        <v>6</v>
      </c>
      <c r="C8" s="13" t="s">
        <v>75</v>
      </c>
      <c r="D8" s="9" t="s">
        <v>14</v>
      </c>
      <c r="E8" s="10" t="s">
        <v>74</v>
      </c>
      <c r="F8" s="9" t="s">
        <v>75</v>
      </c>
      <c r="G8" s="10" t="s">
        <v>65</v>
      </c>
      <c r="H8" s="9" t="s">
        <v>76</v>
      </c>
      <c r="I8" s="10" t="s">
        <v>65</v>
      </c>
      <c r="J8" s="9">
        <v>1</v>
      </c>
      <c r="K8" s="9"/>
    </row>
    <row r="9" spans="1:11" ht="36.6" thickBot="1" x14ac:dyDescent="0.35">
      <c r="A9" s="1"/>
      <c r="B9" s="11">
        <f>ROW(B9) - ROW($B$2)</f>
        <v>7</v>
      </c>
      <c r="C9" s="12" t="s">
        <v>4</v>
      </c>
      <c r="D9" s="7" t="s">
        <v>15</v>
      </c>
      <c r="E9" s="8" t="s">
        <v>28</v>
      </c>
      <c r="F9" s="7" t="s">
        <v>39</v>
      </c>
      <c r="G9" s="8" t="s">
        <v>47</v>
      </c>
      <c r="H9" s="7" t="s">
        <v>59</v>
      </c>
      <c r="I9" s="8" t="s">
        <v>47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5</v>
      </c>
      <c r="D10" s="9" t="s">
        <v>16</v>
      </c>
      <c r="E10" s="10" t="s">
        <v>29</v>
      </c>
      <c r="F10" s="9" t="s">
        <v>40</v>
      </c>
      <c r="G10" s="10" t="s">
        <v>48</v>
      </c>
      <c r="H10" s="9" t="s">
        <v>56</v>
      </c>
      <c r="I10" s="10" t="s">
        <v>66</v>
      </c>
      <c r="J10" s="9">
        <v>2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6</v>
      </c>
      <c r="D11" s="7" t="s">
        <v>17</v>
      </c>
      <c r="E11" s="8" t="s">
        <v>30</v>
      </c>
      <c r="F11" s="7" t="s">
        <v>40</v>
      </c>
      <c r="G11" s="8" t="s">
        <v>49</v>
      </c>
      <c r="H11" s="7" t="s">
        <v>56</v>
      </c>
      <c r="I11" s="8" t="s">
        <v>67</v>
      </c>
      <c r="J11" s="7">
        <v>3</v>
      </c>
      <c r="K11" s="7"/>
    </row>
    <row r="12" spans="1:11" ht="15" thickBot="1" x14ac:dyDescent="0.35">
      <c r="A12" s="1"/>
      <c r="B12" s="11">
        <f t="shared" si="0"/>
        <v>10</v>
      </c>
      <c r="C12" s="13"/>
      <c r="D12" s="9" t="s">
        <v>18</v>
      </c>
      <c r="E12" s="10" t="s">
        <v>31</v>
      </c>
      <c r="F12" s="9" t="s">
        <v>40</v>
      </c>
      <c r="G12" s="10" t="s">
        <v>50</v>
      </c>
      <c r="H12" s="9" t="s">
        <v>56</v>
      </c>
      <c r="I12" s="10" t="s">
        <v>68</v>
      </c>
      <c r="J12" s="9">
        <v>4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5</v>
      </c>
      <c r="D13" s="7" t="s">
        <v>19</v>
      </c>
      <c r="E13" s="8" t="s">
        <v>32</v>
      </c>
      <c r="F13" s="7" t="s">
        <v>40</v>
      </c>
      <c r="G13" s="8" t="s">
        <v>51</v>
      </c>
      <c r="H13" s="7" t="s">
        <v>56</v>
      </c>
      <c r="I13" s="8" t="s">
        <v>69</v>
      </c>
      <c r="J13" s="7">
        <v>3</v>
      </c>
      <c r="K13" s="7"/>
    </row>
    <row r="14" spans="1:11" ht="15" thickBot="1" x14ac:dyDescent="0.35">
      <c r="A14" s="1"/>
      <c r="B14" s="11">
        <f t="shared" si="0"/>
        <v>12</v>
      </c>
      <c r="C14" s="13" t="s">
        <v>5</v>
      </c>
      <c r="D14" s="9" t="s">
        <v>20</v>
      </c>
      <c r="E14" s="10" t="s">
        <v>33</v>
      </c>
      <c r="F14" s="9" t="s">
        <v>40</v>
      </c>
      <c r="G14" s="10" t="s">
        <v>52</v>
      </c>
      <c r="H14" s="9" t="s">
        <v>56</v>
      </c>
      <c r="I14" s="10" t="s">
        <v>70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7</v>
      </c>
      <c r="D15" s="7" t="s">
        <v>21</v>
      </c>
      <c r="E15" s="8" t="s">
        <v>34</v>
      </c>
      <c r="F15" s="7" t="s">
        <v>41</v>
      </c>
      <c r="G15" s="8" t="s">
        <v>53</v>
      </c>
      <c r="H15" s="7" t="s">
        <v>60</v>
      </c>
      <c r="I15" s="8" t="s">
        <v>53</v>
      </c>
      <c r="J15" s="7">
        <v>1</v>
      </c>
      <c r="K1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2026-03-19T14:01:55Z</dcterms:modified>
</cp:coreProperties>
</file>